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kas\OneDrive\Documents\MapUp-DA-Assessment-2024\"/>
    </mc:Choice>
  </mc:AlternateContent>
  <xr:revisionPtr revIDLastSave="0" documentId="13_ncr:1_{BE797857-3AD3-4119-9E32-4B17860FC132}" xr6:coauthVersionLast="47" xr6:coauthVersionMax="47" xr10:uidLastSave="{00000000-0000-0000-0000-000000000000}"/>
  <bookViews>
    <workbookView xWindow="-108" yWindow="-108" windowWidth="23256" windowHeight="12456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B16" i="16" a="1"/>
  <c r="B16" i="16" s="1"/>
  <c r="B17" i="16" a="1"/>
  <c r="B17" i="16" s="1"/>
  <c r="B18" i="16" a="1"/>
  <c r="B18" i="16" s="1"/>
  <c r="B19" i="16" a="1"/>
  <c r="B19" i="16" s="1"/>
  <c r="B20" i="16" a="1"/>
  <c r="B20" i="16"/>
  <c r="B21" i="16" a="1"/>
  <c r="B21" i="16" s="1"/>
  <c r="B22" i="16" a="1"/>
  <c r="B22" i="16" s="1"/>
  <c r="B23" i="16" a="1"/>
  <c r="B23" i="16" s="1"/>
  <c r="B24" i="16" a="1"/>
  <c r="B24" i="16"/>
  <c r="B25" i="16" a="1"/>
  <c r="B25" i="16" s="1"/>
  <c r="B26" i="16" a="1"/>
  <c r="B26" i="16" s="1"/>
  <c r="B27" i="16" a="1"/>
  <c r="B27" i="16" s="1"/>
  <c r="B28" i="16" a="1"/>
  <c r="B28" i="16"/>
  <c r="B29" i="16" a="1"/>
  <c r="B29" i="16" s="1"/>
  <c r="B30" i="16" a="1"/>
  <c r="B30" i="16" s="1"/>
  <c r="B31" i="16" a="1"/>
  <c r="B31" i="16" s="1"/>
  <c r="B32" i="16" a="1"/>
  <c r="B32" i="16"/>
  <c r="B33" i="16" a="1"/>
  <c r="B33" i="16" s="1"/>
  <c r="B34" i="16" a="1"/>
  <c r="B34" i="16" s="1"/>
  <c r="B35" i="16" a="1"/>
  <c r="B35" i="16" s="1"/>
  <c r="B36" i="16" a="1"/>
  <c r="B36" i="16"/>
  <c r="B37" i="16" a="1"/>
  <c r="B37" i="16" s="1"/>
  <c r="B38" i="16" a="1"/>
  <c r="B38" i="16" s="1"/>
  <c r="B39" i="16" a="1"/>
  <c r="B39" i="16" s="1"/>
  <c r="B40" i="16" a="1"/>
  <c r="B40" i="16"/>
  <c r="B41" i="16" a="1"/>
  <c r="B41" i="16" s="1"/>
  <c r="B42" i="16" a="1"/>
  <c r="B42" i="16" s="1"/>
  <c r="B43" i="16" a="1"/>
  <c r="B43" i="16" s="1"/>
  <c r="B44" i="16" a="1"/>
  <c r="B44" i="16"/>
  <c r="B45" i="16" a="1"/>
  <c r="B45" i="16" s="1"/>
  <c r="B46" i="16" a="1"/>
  <c r="B46" i="16" s="1"/>
  <c r="B47" i="16" a="1"/>
  <c r="B47" i="16" s="1"/>
  <c r="B48" i="16" a="1"/>
  <c r="B48" i="16"/>
  <c r="B49" i="16" a="1"/>
  <c r="B49" i="16" s="1"/>
  <c r="B50" i="16" a="1"/>
  <c r="B50" i="16" s="1"/>
  <c r="B51" i="16" a="1"/>
  <c r="B51" i="16" s="1"/>
  <c r="B52" i="16" a="1"/>
  <c r="B52" i="16"/>
  <c r="B53" i="16" a="1"/>
  <c r="B53" i="16" s="1"/>
  <c r="B54" i="16" a="1"/>
  <c r="B54" i="16" s="1"/>
  <c r="F30" i="18"/>
  <c r="F29" i="18"/>
  <c r="F28" i="18"/>
  <c r="E30" i="18"/>
  <c r="E29" i="18"/>
  <c r="E28" i="18"/>
  <c r="D30" i="18"/>
  <c r="D29" i="18"/>
  <c r="D28" i="18"/>
  <c r="C30" i="18"/>
  <c r="C29" i="18"/>
  <c r="C28" i="18"/>
  <c r="B28" i="18"/>
  <c r="B30" i="18"/>
  <c r="B29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<sst xmlns="http://schemas.openxmlformats.org/spreadsheetml/2006/main" count="328" uniqueCount="183">
  <si>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</si>
  <si>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</si>
  <si>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</si>
  <si>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</si>
  <si>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</si>
  <si>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</si>
  <si>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</si>
  <si>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</si>
  <si>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</si>
  <si>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</si>
  <si>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</si>
  <si>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</si>
  <si>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</si>
  <si>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</si>
  <si>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</si>
  <si>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</si>
  <si>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</si>
  <si>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</si>
  <si>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</si>
  <si>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</si>
  <si>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</si>
  <si>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</si>
  <si>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</si>
  <si>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</si>
  <si>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</si>
  <si>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</si>
  <si>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</si>
  <si>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</si>
  <si>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</si>
  <si>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</si>
  <si>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</si>
  <si>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</si>
  <si>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</si>
  <si>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</si>
  <si>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</si>
  <si>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</si>
  <si>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</si>
  <si>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</si>
  <si>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</si>
  <si>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</si>
  <si>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</si>
  <si>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</si>
  <si>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</si>
  <si>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</si>
  <si>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</si>
  <si>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</si>
  <si>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</si>
  <si>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</si>
  <si>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</si>
  <si>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</si>
  <si>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</si>
  <si>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</si>
  <si>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</si>
  <si>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</si>
  <si>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</si>
  <si>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</si>
  <si>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</si>
  <si>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</si>
  <si>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</si>
  <si>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</si>
  <si>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</si>
  <si>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</si>
  <si>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</si>
  <si>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</si>
  <si>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</si>
  <si>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</si>
  <si>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</si>
  <si>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</si>
  <si>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</si>
  <si>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</si>
  <si>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</si>
  <si>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</si>
  <si>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</si>
  <si>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</si>
  <si>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</si>
  <si>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</si>
  <si>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</si>
  <si>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</si>
  <si>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</si>
  <si>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</si>
  <si>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</si>
  <si>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</si>
  <si>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</si>
  <si>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</si>
  <si>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</si>
  <si>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</si>
  <si>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</si>
  <si>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</si>
  <si>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</si>
  <si>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</si>
  <si>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</si>
  <si>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</si>
  <si>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</si>
  <si>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</si>
  <si>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</si>
  <si>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</si>
  <si>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</si>
  <si>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</si>
  <si>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</si>
  <si>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</si>
  <si>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</si>
  <si>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</si>
  <si>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</si>
  <si>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</si>
  <si>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</si>
  <si>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</si>
  <si>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</si>
  <si>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</si>
  <si>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</si>
  <si>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</si>
  <si>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</si>
  <si>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</si>
  <si>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</si>
  <si>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</si>
  <si>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</si>
  <si>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</si>
  <si>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</si>
  <si>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</si>
  <si>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</si>
  <si>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</si>
  <si>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</si>
  <si>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</si>
  <si>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</si>
  <si>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</si>
  <si>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</si>
  <si>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</si>
  <si>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</si>
  <si>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</si>
  <si>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</si>
  <si>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</si>
  <si>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</si>
  <si>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</si>
  <si>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</si>
  <si>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</si>
  <si>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</si>
  <si>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</si>
  <si>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</si>
  <si>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</si>
  <si>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</si>
  <si>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</si>
  <si>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</si>
  <si>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</si>
  <si>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</si>
  <si>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</si>
  <si>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</si>
  <si>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</si>
  <si>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</si>
  <si>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</si>
  <si>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</si>
  <si>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</si>
  <si>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</si>
  <si>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</si>
  <si>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</si>
  <si>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</si>
  <si>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</si>
  <si>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</si>
  <si>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</si>
  <si>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</si>
  <si>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</si>
  <si>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</si>
  <si>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</si>
  <si>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</si>
  <si>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</si>
  <si>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</si>
  <si>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</si>
  <si>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</si>
  <si>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</si>
  <si>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</si>
  <si>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</si>
  <si>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</si>
  <si>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</si>
  <si>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</si>
  <si>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</si>
  <si>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</si>
  <si>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</si>
  <si>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</si>
  <si>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</si>
  <si>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</si>
  <si>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 "&gt;20")</t>
  </si>
  <si>
    <t>TEXTSPLIT(A16,"-")</t>
  </si>
  <si>
    <t>TextSplit is an inbuilt function of Microsoft excel, in the above used fromula the function is taking the 2 arguments i.e string and delimeter by which we want to split the string.</t>
  </si>
  <si>
    <t>SUM(IF(ISNA(C12:C21), 20, C12:C21))</t>
  </si>
  <si>
    <t>In the above formula, it is adding all the values in the range C12:C21, and in whenever there is NA values is present it is replacing that value by 20).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</si>
</sst>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7" fillId="0" borderId="1" xfId="0" applyFont="1" applyBorder="1" applyAlignment="1">
      <alignment horizontal="center"/>
    </xf>
    <xf numFmtId="166" fontId="7" fillId="0" borderId="0" xfId="0" applyNumberFormat="1" applyFont="1"/>
    <xf numFmtId="166" fontId="3" fillId="0" borderId="0" xfId="0" applyNumberFormat="1" applyFont="1"/>
    <xf numFmtId="0" fontId="3" fillId="5" borderId="1" xfId="0" applyFont="1" applyFill="1" applyBorder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theme="9"/>
      </font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M1" zoomScaleNormal="100" workbookViewId="0">
      <pane ySplit="1" topLeftCell="A2" activePane="bottomLeft" state="frozen"/>
      <selection pane="bottomLeft" activeCell="T1" sqref="T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">
      <c r="H41" s="45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lessThan">
      <formula>0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E3" sqref="E3:E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23.77734375" style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105</v>
      </c>
      <c r="D5" s="1" t="s">
        <v>178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topLeftCell="A5" zoomScaleNormal="100" workbookViewId="0">
      <selection activeCell="G25" sqref="G2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VLOOKUP(A6,Dataset!A1:X40,7,0)</f>
        <v>2.7</v>
      </c>
      <c r="C6" s="12">
        <f>VLOOKUP(A6,Dataset!A1:X40,14,0)</f>
        <v>7.6</v>
      </c>
      <c r="D6" s="12">
        <f>VLOOKUP(A6,Dataset!A1:X40,18,0)</f>
        <v>4.2</v>
      </c>
      <c r="E6" s="12">
        <f>VLOOKUP(A6,Dataset!A1:X40,20,0)</f>
        <v>8.9</v>
      </c>
      <c r="F6" s="8">
        <f>VLOOKUP(A6,Dataset!A1:X40,22,0)</f>
        <v>4.2</v>
      </c>
    </row>
    <row r="7" spans="1:7" ht="14.4" x14ac:dyDescent="0.3">
      <c r="A7" s="7" t="s">
        <v>4</v>
      </c>
      <c r="B7" s="12">
        <f>VLOOKUP(A7,Dataset!A2:X41,7,0)</f>
        <v>2.7</v>
      </c>
      <c r="C7" s="12">
        <f>VLOOKUP(A7,Dataset!A2:X41,14,0)</f>
        <v>7.6</v>
      </c>
      <c r="D7" s="12">
        <f>VLOOKUP(A7,Dataset!A2:X41,18,0)</f>
        <v>4.2</v>
      </c>
      <c r="E7" s="12">
        <f>VLOOKUP(A7,Dataset!A2:X41,20,0)</f>
        <v>8.9</v>
      </c>
      <c r="F7" s="8">
        <f>VLOOKUP(A7,Dataset!A2:X41,22,0)</f>
        <v>4.2</v>
      </c>
    </row>
    <row r="8" spans="1:7" ht="14.4" x14ac:dyDescent="0.3">
      <c r="A8" s="7" t="s">
        <v>7</v>
      </c>
      <c r="B8" s="12">
        <f>VLOOKUP(A8,Dataset!A3:X42,7,0)</f>
        <v>3.6</v>
      </c>
      <c r="C8" s="12">
        <f>VLOOKUP(A8,Dataset!A3:X42,14,0)</f>
        <v>11.1</v>
      </c>
      <c r="D8" s="12">
        <f>VLOOKUP(A8,Dataset!A3:X42,18,0)</f>
        <v>5.8</v>
      </c>
      <c r="E8" s="12">
        <f>VLOOKUP(A8,Dataset!A3:X42,20,0)</f>
        <v>12.2</v>
      </c>
      <c r="F8" s="8">
        <f>VLOOKUP(A8,Dataset!A3:X42,22,0)</f>
        <v>5.8</v>
      </c>
    </row>
    <row r="9" spans="1:7" ht="14.4" x14ac:dyDescent="0.3">
      <c r="A9" s="7" t="s">
        <v>8</v>
      </c>
      <c r="B9" s="12">
        <f>VLOOKUP(A9,Dataset!A4:X43,7,0)</f>
        <v>4.9000000000000004</v>
      </c>
      <c r="C9" s="12">
        <f>VLOOKUP(A9,Dataset!A4:X43,14,0)</f>
        <v>13.3</v>
      </c>
      <c r="D9" s="12">
        <f>VLOOKUP(A9,Dataset!A4:X43,18,0)</f>
        <v>8.1</v>
      </c>
      <c r="E9" s="12">
        <f>VLOOKUP(A9,Dataset!A4:X43,20,0)</f>
        <v>17</v>
      </c>
      <c r="F9" s="8">
        <f>VLOOKUP(A9,Dataset!A4:X43,22,0)</f>
        <v>8.1</v>
      </c>
    </row>
    <row r="10" spans="1:7" ht="14.4" x14ac:dyDescent="0.3">
      <c r="A10" s="7" t="s">
        <v>11</v>
      </c>
      <c r="B10" s="12">
        <f>VLOOKUP(A10,Dataset!A5:X44,7,0)</f>
        <v>9.4</v>
      </c>
      <c r="C10" s="12">
        <f>VLOOKUP(A10,Dataset!A5:X44,14,0)</f>
        <v>28.3</v>
      </c>
      <c r="D10" s="12">
        <f>VLOOKUP(A10,Dataset!A5:X44,18,0)</f>
        <v>16.100000000000001</v>
      </c>
      <c r="E10" s="12">
        <f>VLOOKUP(A10,Dataset!A5:X44,20,0)</f>
        <v>32.799999999999997</v>
      </c>
      <c r="F10" s="8">
        <f>VLOOKUP(A10,Dataset!A5:X44,22,0)</f>
        <v>16.100000000000001</v>
      </c>
    </row>
    <row r="11" spans="1:7" ht="14.4" x14ac:dyDescent="0.3">
      <c r="A11" s="7" t="s">
        <v>12</v>
      </c>
      <c r="B11" s="12">
        <f>VLOOKUP(A11,Dataset!A6:X45,7,0)</f>
        <v>11.6</v>
      </c>
      <c r="C11" s="12">
        <f>VLOOKUP(A11,Dataset!A6:X45,14,0)</f>
        <v>35.200000000000003</v>
      </c>
      <c r="D11" s="12">
        <f>VLOOKUP(A11,Dataset!A6:X45,18,0)</f>
        <v>21.3</v>
      </c>
      <c r="E11" s="12">
        <f>VLOOKUP(A11,Dataset!A6:X45,20,0)</f>
        <v>43</v>
      </c>
      <c r="F11" s="8">
        <f>VLOOKUP(A11,Dataset!A6:X45,22,0)</f>
        <v>21.3</v>
      </c>
    </row>
    <row r="12" spans="1:7" ht="14.4" x14ac:dyDescent="0.3">
      <c r="A12" s="7" t="s">
        <v>14</v>
      </c>
      <c r="B12" s="12">
        <f>VLOOKUP(A12,Dataset!A7:X46,7,0)</f>
        <v>18.399999999999999</v>
      </c>
      <c r="C12" s="12">
        <f>VLOOKUP(A12,Dataset!A7:X46,14,0)</f>
        <v>55.6</v>
      </c>
      <c r="D12" s="12">
        <f>VLOOKUP(A12,Dataset!A7:X46,18,0)</f>
        <v>33.799999999999997</v>
      </c>
      <c r="E12" s="12">
        <f>VLOOKUP(A12,Dataset!A7:X46,20,0)</f>
        <v>67.900000000000006</v>
      </c>
      <c r="F12" s="8">
        <f>VLOOKUP(A12,Dataset!A7:X46,22,0)</f>
        <v>33.799999999999997</v>
      </c>
    </row>
    <row r="13" spans="1:7" ht="14.4" x14ac:dyDescent="0.3">
      <c r="A13" s="7" t="s">
        <v>15</v>
      </c>
      <c r="B13" s="12">
        <f>VLOOKUP(A13,Dataset!A8:X47,7,0)</f>
        <v>0</v>
      </c>
      <c r="C13" s="12">
        <f>VLOOKUP(A13,Dataset!A8:X47,14,0)</f>
        <v>0</v>
      </c>
      <c r="D13" s="12">
        <f>VLOOKUP(A13,Dataset!A8:X47,18,0)</f>
        <v>0</v>
      </c>
      <c r="E13" s="12">
        <f>VLOOKUP(A13,Dataset!A8:X47,20,0)</f>
        <v>0</v>
      </c>
      <c r="F13" s="8">
        <f>VLOOKUP(A13,Dataset!A8:X47,22,0)</f>
        <v>0</v>
      </c>
    </row>
    <row r="14" spans="1:7" ht="14.4" x14ac:dyDescent="0.3">
      <c r="A14" s="7" t="s">
        <v>16</v>
      </c>
      <c r="B14" s="12">
        <f>VLOOKUP(A14,Dataset!A9:X48,7,0)</f>
        <v>21.9</v>
      </c>
      <c r="C14" s="12">
        <f>VLOOKUP(A14,Dataset!A9:X48,14,0)</f>
        <v>61.5</v>
      </c>
      <c r="D14" s="12">
        <f>VLOOKUP(A14,Dataset!A9:X48,18,0)</f>
        <v>40.1</v>
      </c>
      <c r="E14" s="12">
        <f>VLOOKUP(A14,Dataset!A9:X48,20,0)</f>
        <v>76.599999999999994</v>
      </c>
      <c r="F14" s="8">
        <f>VLOOKUP(A14,Dataset!A9:X48,22,0)</f>
        <v>40.1</v>
      </c>
    </row>
    <row r="15" spans="1:7" ht="14.4" x14ac:dyDescent="0.3">
      <c r="A15" s="7" t="s">
        <v>18</v>
      </c>
      <c r="B15" s="12">
        <f>VLOOKUP(A15,Dataset!A10:X49,7,0)</f>
        <v>26.8</v>
      </c>
      <c r="C15" s="12">
        <f>VLOOKUP(A15,Dataset!A10:X49,14,0)</f>
        <v>79.599999999999994</v>
      </c>
      <c r="D15" s="12">
        <f>VLOOKUP(A15,Dataset!A10:X49,18,0)</f>
        <v>47.9</v>
      </c>
      <c r="E15" s="12">
        <f>VLOOKUP(A15,Dataset!A10:X49,20,0)</f>
        <v>96.8</v>
      </c>
      <c r="F15" s="8">
        <f>VLOOKUP(A15,Dataset!A10:X49,22,0)</f>
        <v>47.9</v>
      </c>
    </row>
    <row r="16" spans="1:7" ht="14.4" x14ac:dyDescent="0.3">
      <c r="A16" s="7" t="s">
        <v>20</v>
      </c>
      <c r="B16" s="12">
        <f>VLOOKUP(A16,Dataset!A11:X50,7,0)</f>
        <v>28.5</v>
      </c>
      <c r="C16" s="12">
        <f>VLOOKUP(A16,Dataset!A11:X50,14,0)</f>
        <v>85.4</v>
      </c>
      <c r="D16" s="12">
        <f>VLOOKUP(A16,Dataset!A11:X50,18,0)</f>
        <v>52.3</v>
      </c>
      <c r="E16" s="12">
        <f>VLOOKUP(A16,Dataset!A11:X50,20,0)</f>
        <v>106.1</v>
      </c>
      <c r="F16" s="8">
        <f>VLOOKUP(A16,Dataset!A11:X50,22,0)</f>
        <v>52.3</v>
      </c>
    </row>
    <row r="17" spans="1:6" ht="14.4" x14ac:dyDescent="0.3">
      <c r="A17" s="7" t="s">
        <v>22</v>
      </c>
      <c r="B17" s="12">
        <f>VLOOKUP(A17,Dataset!A12:X51,7,0)</f>
        <v>30.7</v>
      </c>
      <c r="C17" s="12">
        <f>VLOOKUP(A17,Dataset!A12:X51,14,0)</f>
        <v>92.1</v>
      </c>
      <c r="D17" s="12">
        <f>VLOOKUP(A17,Dataset!A12:X51,18,0)</f>
        <v>57</v>
      </c>
      <c r="E17" s="12">
        <f>VLOOKUP(A17,Dataset!A12:X51,20,0)</f>
        <v>115.1</v>
      </c>
      <c r="F17" s="8">
        <f>VLOOKUP(A17,Dataset!A12:X51,22,0)</f>
        <v>57</v>
      </c>
    </row>
    <row r="18" spans="1:6" ht="14.4" x14ac:dyDescent="0.3">
      <c r="A18" s="7" t="s">
        <v>23</v>
      </c>
      <c r="B18" s="12">
        <f>VLOOKUP(A18,Dataset!A13:X52,7,0)</f>
        <v>33.799999999999997</v>
      </c>
      <c r="C18" s="12">
        <f>VLOOKUP(A18,Dataset!A13:X52,14,0)</f>
        <v>101.3</v>
      </c>
      <c r="D18" s="12">
        <f>VLOOKUP(A18,Dataset!A13:X52,18,0)</f>
        <v>61.4</v>
      </c>
      <c r="E18" s="12">
        <f>VLOOKUP(A18,Dataset!A13:X52,20,0)</f>
        <v>124.4</v>
      </c>
      <c r="F18" s="8">
        <f>VLOOKUP(A18,Dataset!A13:X52,22,0)</f>
        <v>61.4</v>
      </c>
    </row>
    <row r="19" spans="1:6" ht="14.4" x14ac:dyDescent="0.3">
      <c r="A19" s="7" t="s">
        <v>24</v>
      </c>
      <c r="B19" s="12">
        <f>VLOOKUP(A19,Dataset!A14:X53,7,0)</f>
        <v>34.700000000000003</v>
      </c>
      <c r="C19" s="12">
        <f>VLOOKUP(A19,Dataset!A14:X53,14,0)</f>
        <v>106.1</v>
      </c>
      <c r="D19" s="12">
        <f>VLOOKUP(A19,Dataset!A14:X53,18,0)</f>
        <v>63.6</v>
      </c>
      <c r="E19" s="12">
        <f>VLOOKUP(A19,Dataset!A14:X53,20,0)</f>
        <v>128.6</v>
      </c>
      <c r="F19" s="8">
        <f>VLOOKUP(A19,Dataset!A14:X53,22,0)</f>
        <v>63.6</v>
      </c>
    </row>
    <row r="20" spans="1:6" ht="14.4" x14ac:dyDescent="0.3">
      <c r="A20" s="7" t="s">
        <v>28</v>
      </c>
      <c r="B20" s="12">
        <f>VLOOKUP(A20,Dataset!A15:X54,7,0)</f>
        <v>0</v>
      </c>
      <c r="C20" s="12">
        <f>VLOOKUP(A20,Dataset!A15:X54,14,0)</f>
        <v>0</v>
      </c>
      <c r="D20" s="12">
        <f>VLOOKUP(A20,Dataset!A15:X54,18,0)</f>
        <v>0</v>
      </c>
      <c r="E20" s="12">
        <f>VLOOKUP(A20,Dataset!A15:X54,20,0)</f>
        <v>0</v>
      </c>
      <c r="F20" s="8">
        <f>VLOOKUP(A20,Dataset!A15:X54,22,0)</f>
        <v>0</v>
      </c>
    </row>
    <row r="21" spans="1:6" ht="14.4" x14ac:dyDescent="0.3">
      <c r="A21" s="7" t="s">
        <v>57</v>
      </c>
      <c r="B21" s="12">
        <f>VLOOKUP(A21,Dataset!A16:X55,7,0)</f>
        <v>41.3</v>
      </c>
      <c r="C21" s="12">
        <f>VLOOKUP(A21,Dataset!A16:X55,14,0)</f>
        <v>124.4</v>
      </c>
      <c r="D21" s="12">
        <f>VLOOKUP(A21,Dataset!A16:X55,18,0)</f>
        <v>75</v>
      </c>
      <c r="E21" s="12">
        <f>VLOOKUP(A21,Dataset!A16:X55,20,0)</f>
        <v>151.5</v>
      </c>
      <c r="F21" s="8">
        <f>VLOOKUP(A21,Dataset!A16:X55,22,0)</f>
        <v>75</v>
      </c>
    </row>
    <row r="22" spans="1:6" ht="14.4" x14ac:dyDescent="0.3">
      <c r="A22" s="7" t="s">
        <v>58</v>
      </c>
      <c r="B22" s="12">
        <f>VLOOKUP(A22,Dataset!A17:X56,7,0)</f>
        <v>-1</v>
      </c>
      <c r="C22" s="12">
        <f>VLOOKUP(A22,Dataset!A17:X56,14,0)</f>
        <v>-1</v>
      </c>
      <c r="D22" s="12">
        <f>VLOOKUP(A22,Dataset!A17:X56,18,0)</f>
        <v>-1</v>
      </c>
      <c r="E22" s="12">
        <f>VLOOKUP(A22,Dataset!A17:X56,20,0)</f>
        <v>-1</v>
      </c>
      <c r="F22" s="8">
        <f>VLOOKUP(A22,Dataset!A17:X56,22,0)</f>
        <v>-1</v>
      </c>
    </row>
    <row r="23" spans="1:6" ht="14.4" x14ac:dyDescent="0.3">
      <c r="A23" s="7" t="s">
        <v>31</v>
      </c>
      <c r="B23" s="12">
        <f>VLOOKUP(A23,Dataset!A18:X57,7,0)</f>
        <v>45</v>
      </c>
      <c r="C23" s="12">
        <f>VLOOKUP(A23,Dataset!A18:X57,14,0)</f>
        <v>133.4</v>
      </c>
      <c r="D23" s="12">
        <f>VLOOKUP(A23,Dataset!A18:X57,18,0)</f>
        <v>79.400000000000006</v>
      </c>
      <c r="E23" s="12">
        <f>VLOOKUP(A23,Dataset!A18:X57,20,0)</f>
        <v>160.9</v>
      </c>
      <c r="F23" s="8">
        <f>VLOOKUP(A23,Dataset!A18:X57,22,0)</f>
        <v>79.400000000000006</v>
      </c>
    </row>
    <row r="24" spans="1:6" ht="14.4" x14ac:dyDescent="0.3">
      <c r="A24" s="7" t="s">
        <v>32</v>
      </c>
      <c r="B24" s="12">
        <f>VLOOKUP(A24,Dataset!A19:X58,7,0)</f>
        <v>-1</v>
      </c>
      <c r="C24" s="12">
        <f>VLOOKUP(A24,Dataset!A19:X58,14,0)</f>
        <v>-1</v>
      </c>
      <c r="D24" s="12">
        <f>VLOOKUP(A24,Dataset!A19:X58,18,0)</f>
        <v>-1</v>
      </c>
      <c r="E24" s="12">
        <f>VLOOKUP(A24,Dataset!A19:X58,20,0)</f>
        <v>-1</v>
      </c>
      <c r="F24" s="8">
        <f>VLOOKUP(A24,Dataset!A19:X58,22,0)</f>
        <v>-1</v>
      </c>
    </row>
    <row r="25" spans="1:6" ht="14.4" x14ac:dyDescent="0.3">
      <c r="A25" s="7" t="s">
        <v>34</v>
      </c>
      <c r="B25" s="12">
        <f>VLOOKUP(A25,Dataset!A20:X59,7,0)</f>
        <v>43.3</v>
      </c>
      <c r="C25" s="12">
        <f>VLOOKUP(A25,Dataset!A20:X59,14,0)</f>
        <v>128.6</v>
      </c>
      <c r="D25" s="12">
        <f>VLOOKUP(A25,Dataset!A20:X59,18,0)</f>
        <v>79.400000000000006</v>
      </c>
      <c r="E25" s="12">
        <f>VLOOKUP(A25,Dataset!A20:X59,20,0)</f>
        <v>160.9</v>
      </c>
      <c r="F25" s="8">
        <f>VLOOKUP(A25,Dataset!A20:X59,22,0)</f>
        <v>79.400000000000006</v>
      </c>
    </row>
    <row r="26" spans="1:6" ht="14.4" x14ac:dyDescent="0.3">
      <c r="A26" s="7" t="s">
        <v>37</v>
      </c>
      <c r="B26" s="12">
        <f>VLOOKUP(A26,Dataset!A21:X60,7,0)</f>
        <v>49.1</v>
      </c>
      <c r="C26" s="12">
        <f>VLOOKUP(A26,Dataset!A21:X60,14,0)</f>
        <v>146.80000000000001</v>
      </c>
      <c r="D26" s="12">
        <f>VLOOKUP(A26,Dataset!A21:X60,18,0)</f>
        <v>90.9</v>
      </c>
      <c r="E26" s="12">
        <f>VLOOKUP(A26,Dataset!A21:X60,20,0)</f>
        <v>183.5</v>
      </c>
      <c r="F26" s="8">
        <f>VLOOKUP(A26,Dataset!A21:X60,22,0)</f>
        <v>90.9</v>
      </c>
    </row>
    <row r="27" spans="1:6" ht="14.4" x14ac:dyDescent="0.3">
      <c r="A27" s="7" t="s">
        <v>39</v>
      </c>
      <c r="B27" s="12">
        <f>VLOOKUP(A27,Dataset!A22:X61,7,0)</f>
        <v>51.8</v>
      </c>
      <c r="C27" s="12">
        <f>VLOOKUP(A27,Dataset!A22:X61,14,0)</f>
        <v>156.4</v>
      </c>
      <c r="D27" s="12">
        <f>VLOOKUP(A27,Dataset!A22:X61,18,0)</f>
        <v>93.1</v>
      </c>
      <c r="E27" s="12">
        <f>VLOOKUP(A27,Dataset!A22:X61,20,0)</f>
        <v>188.1</v>
      </c>
      <c r="F27" s="8">
        <f>VLOOKUP(A27,Dataset!A22:X61,22,0)</f>
        <v>93.1</v>
      </c>
    </row>
    <row r="28" spans="1:6" ht="14.4" x14ac:dyDescent="0.3">
      <c r="A28" s="19" t="s">
        <v>82</v>
      </c>
      <c r="B28" s="48">
        <f>MIN(B6:B27)</f>
        <v>-1</v>
      </c>
      <c r="C28" s="48">
        <f>MIN(C6:C27)</f>
        <v>-1</v>
      </c>
      <c r="D28" s="48">
        <f>MIN(D6:D27)</f>
        <v>-1</v>
      </c>
      <c r="E28" s="48">
        <f>MIN(E6:E27)</f>
        <v>-1</v>
      </c>
      <c r="F28" s="48">
        <f>MIN(F6:F27)</f>
        <v>-1</v>
      </c>
    </row>
    <row r="29" spans="1:6" ht="14.4" x14ac:dyDescent="0.3">
      <c r="A29" s="19" t="s">
        <v>83</v>
      </c>
      <c r="B29" s="48">
        <f>MAX(B6:B27)</f>
        <v>51.8</v>
      </c>
      <c r="C29" s="48">
        <f>MAX(C6:C27)</f>
        <v>156.4</v>
      </c>
      <c r="D29" s="48">
        <f>MAX(D6:D27)</f>
        <v>93.1</v>
      </c>
      <c r="E29" s="48">
        <f>MAX(E6:E27)</f>
        <v>188.1</v>
      </c>
      <c r="F29" s="48">
        <f>MAX(F6:F27)</f>
        <v>93.1</v>
      </c>
    </row>
    <row r="30" spans="1:6" ht="14.4" x14ac:dyDescent="0.3">
      <c r="A30" s="19" t="s">
        <v>84</v>
      </c>
      <c r="B30" s="48">
        <f>AVERAGE(B6:B27)</f>
        <v>20.827272727272728</v>
      </c>
      <c r="C30" s="48">
        <f>AVERAGE(C6:C27)</f>
        <v>62.377272727272725</v>
      </c>
      <c r="D30" s="48">
        <f>AVERAGE(D6:D27)</f>
        <v>37.800000000000004</v>
      </c>
      <c r="E30" s="48">
        <f>AVERAGE(E6:E27)</f>
        <v>76.418181818181822</v>
      </c>
      <c r="F30" s="48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2" width="23.5546875" style="1" customWidth="1"/>
    <col min="3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179</v>
      </c>
    </row>
    <row r="6" spans="1:10" ht="18" x14ac:dyDescent="0.35">
      <c r="A6" s="42" t="s">
        <v>153</v>
      </c>
      <c r="B6" s="39" t="s">
        <v>180</v>
      </c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 t="str" cm="1">
        <f t="array" ref="B16:F16">_xlfn.TEXTSPLIT(A16,"-")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</row>
    <row r="17" spans="1:6" x14ac:dyDescent="0.3">
      <c r="A17" s="7" t="s">
        <v>122</v>
      </c>
      <c r="B17" s="12" t="str" cm="1">
        <f t="array" ref="B17:F17">_xlfn.TEXTSPLIT(A17,"-")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 x14ac:dyDescent="0.3">
      <c r="A18" s="7" t="s">
        <v>123</v>
      </c>
      <c r="B18" s="12" t="str" cm="1">
        <f t="array" ref="B18:F18">_xlfn.TEXTSPLIT(A18,"-")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 x14ac:dyDescent="0.3">
      <c r="A19" s="7" t="s">
        <v>124</v>
      </c>
      <c r="B19" s="12" t="str" cm="1">
        <f t="array" ref="B19:F19">_xlfn.TEXTSPLIT(A19,"-")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 x14ac:dyDescent="0.3">
      <c r="A20" s="7" t="s">
        <v>125</v>
      </c>
      <c r="B20" s="12" t="str" cm="1">
        <f t="array" ref="B20:F20">_xlfn.TEXTSPLIT(A20,"-")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 x14ac:dyDescent="0.3">
      <c r="A21" s="7" t="s">
        <v>126</v>
      </c>
      <c r="B21" s="12" t="str" cm="1">
        <f t="array" ref="B21:F21">_xlfn.TEXTSPLIT(A21,"-")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 x14ac:dyDescent="0.3">
      <c r="A22" s="7" t="s">
        <v>127</v>
      </c>
      <c r="B22" s="12" t="str" cm="1">
        <f t="array" ref="B22:F22">_xlfn.TEXTSPLIT(A22,"-")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 x14ac:dyDescent="0.3">
      <c r="A23" s="7" t="s">
        <v>128</v>
      </c>
      <c r="B23" s="12" t="str" cm="1">
        <f t="array" ref="B23:F23">_xlfn.TEXTSPLIT(A23,"-")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 x14ac:dyDescent="0.3">
      <c r="A24" s="7" t="s">
        <v>129</v>
      </c>
      <c r="B24" s="12" t="str" cm="1">
        <f t="array" ref="B24:F24">_xlfn.TEXTSPLIT(A24,"-")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 x14ac:dyDescent="0.3">
      <c r="A25" s="7" t="s">
        <v>130</v>
      </c>
      <c r="B25" s="12" t="str" cm="1">
        <f t="array" ref="B25:F25">_xlfn.TEXTSPLIT(A25,"-")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 x14ac:dyDescent="0.3">
      <c r="A26" s="7" t="s">
        <v>131</v>
      </c>
      <c r="B26" s="12" t="str" cm="1">
        <f t="array" ref="B26:F26">_xlfn.TEXTSPLIT(A26,"-")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 x14ac:dyDescent="0.3">
      <c r="A27" s="7" t="s">
        <v>132</v>
      </c>
      <c r="B27" s="12" t="str" cm="1">
        <f t="array" ref="B27:F27">_xlfn.TEXTSPLIT(A27,"-")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 x14ac:dyDescent="0.3">
      <c r="A28" s="7" t="s">
        <v>133</v>
      </c>
      <c r="B28" s="12" t="str" cm="1">
        <f t="array" ref="B28:F28">_xlfn.TEXTSPLIT(A28,"-")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 x14ac:dyDescent="0.3">
      <c r="A29" s="7" t="s">
        <v>134</v>
      </c>
      <c r="B29" s="12" t="str" cm="1">
        <f t="array" ref="B29:F29">_xlfn.TEXTSPLIT(A29,"-")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 x14ac:dyDescent="0.3">
      <c r="A30" s="7" t="s">
        <v>135</v>
      </c>
      <c r="B30" s="12" t="str" cm="1">
        <f t="array" ref="B30:F30">_xlfn.TEXTSPLIT(A30,"-")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 x14ac:dyDescent="0.3">
      <c r="A31" s="7" t="s">
        <v>136</v>
      </c>
      <c r="B31" s="12" t="str" cm="1">
        <f t="array" ref="B31:F31">_xlfn.TEXTSPLIT(A31,"-")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 x14ac:dyDescent="0.3">
      <c r="A32" s="7" t="s">
        <v>137</v>
      </c>
      <c r="B32" s="12" t="str" cm="1">
        <f t="array" ref="B32:F32">_xlfn.TEXTSPLIT(A32,"-")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3">
      <c r="A33" s="7" t="s">
        <v>138</v>
      </c>
      <c r="B33" s="12" t="str" cm="1">
        <f t="array" ref="B33:F33">_xlfn.TEXTSPLIT(A33,"-")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3">
      <c r="A34" s="7" t="s">
        <v>139</v>
      </c>
      <c r="B34" s="12" t="str" cm="1">
        <f t="array" ref="B34:F34">_xlfn.TEXTSPLIT(A34,"-")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3">
      <c r="A35" s="7" t="s">
        <v>140</v>
      </c>
      <c r="B35" s="12" t="str" cm="1">
        <f t="array" ref="B35:F35">_xlfn.TEXTSPLIT(A35,"-")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3">
      <c r="A36" s="7" t="s">
        <v>141</v>
      </c>
      <c r="B36" s="12" t="str" cm="1">
        <f t="array" ref="B36:F36">_xlfn.TEXTSPLIT(A36,"-")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3">
      <c r="A37" s="7" t="s">
        <v>142</v>
      </c>
      <c r="B37" s="12" t="str" cm="1">
        <f t="array" ref="B37:F37">_xlfn.TEXTSPLIT(A37,"-")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3">
      <c r="A38" s="7" t="s">
        <v>143</v>
      </c>
      <c r="B38" s="12" t="str" cm="1">
        <f t="array" ref="B38:F38">_xlfn.TEXTSPLIT(A38,"-")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3">
      <c r="A39" s="7" t="s">
        <v>144</v>
      </c>
      <c r="B39" s="12" t="str" cm="1">
        <f t="array" ref="B39:F39">_xlfn.TEXTSPLIT(A39,"-")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3">
      <c r="A40" s="7" t="s">
        <v>145</v>
      </c>
      <c r="B40" s="12" t="str" cm="1">
        <f t="array" ref="B40:F40">_xlfn.TEXTSPLIT(A40,"-")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3">
      <c r="A41" s="7" t="s">
        <v>146</v>
      </c>
      <c r="B41" s="12" t="str" cm="1">
        <f t="array" ref="B41:F41">_xlfn.TEXTSPLIT(A41,"-")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3">
      <c r="A42" s="7" t="s">
        <v>147</v>
      </c>
      <c r="B42" s="12" t="str" cm="1">
        <f t="array" ref="B42:F42">_xlfn.TEXTSPLIT(A42,"-")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3">
      <c r="A43" s="7" t="s">
        <v>148</v>
      </c>
      <c r="B43" s="12" t="str" cm="1">
        <f t="array" ref="B43:F43">_xlfn.TEXTSPLIT(A43,"-")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3">
      <c r="A44" s="7" t="s">
        <v>149</v>
      </c>
      <c r="B44" s="12" t="str" cm="1">
        <f t="array" ref="B44:F44">_xlfn.TEXTSPLIT(A44,"-")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3">
      <c r="A45" s="7" t="s">
        <v>150</v>
      </c>
      <c r="B45" s="12" t="str" cm="1">
        <f t="array" ref="B45:F45">_xlfn.TEXTSPLIT(A45,"-")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3">
      <c r="A46" s="7" t="s">
        <v>112</v>
      </c>
      <c r="B46" s="12" t="str" cm="1">
        <f t="array" ref="B46:F46">_xlfn.TEXTSPLIT(A46,"-")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3">
      <c r="A47" s="7" t="s">
        <v>113</v>
      </c>
      <c r="B47" s="12" t="str" cm="1">
        <f t="array" ref="B47:F47">_xlfn.TEXTSPLIT(A47,"-")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3">
      <c r="A48" s="7" t="s">
        <v>114</v>
      </c>
      <c r="B48" s="12" t="str" cm="1">
        <f t="array" ref="B48:F48">_xlfn.TEXTSPLIT(A48,"-")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3">
      <c r="A49" s="7" t="s">
        <v>115</v>
      </c>
      <c r="B49" s="12" t="str" cm="1">
        <f t="array" ref="B49:F49">_xlfn.TEXTSPLIT(A49,"-")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3">
      <c r="A50" s="7" t="s">
        <v>116</v>
      </c>
      <c r="B50" s="12" t="str" cm="1">
        <f t="array" ref="B50:F50">_xlfn.TEXTSPLIT(A50,"-")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3">
      <c r="A51" s="7" t="s">
        <v>117</v>
      </c>
      <c r="B51" s="12" t="str" cm="1">
        <f t="array" ref="B51:F51">_xlfn.TEXTSPLIT(A51,"-")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3">
      <c r="A52" s="7" t="s">
        <v>118</v>
      </c>
      <c r="B52" s="12" t="str" cm="1">
        <f t="array" ref="B52:F52">_xlfn.TEXTSPLIT(A52,"-")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3">
      <c r="A53" s="7" t="s">
        <v>119</v>
      </c>
      <c r="B53" s="12" t="str" cm="1">
        <f t="array" ref="B53:F53">_xlfn.TEXTSPLIT(A53,"-")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3">
      <c r="A54" s="9" t="s">
        <v>120</v>
      </c>
      <c r="B54" s="9" t="str" cm="1">
        <f t="array" ref="B54:F54">_xlfn.TEXTSPLIT(A54,"-")</f>
        <v>21016</v>
      </c>
      <c r="C54" s="9" t="str">
        <v>Monday</v>
      </c>
      <c r="D54" s="9" t="str">
        <v>0</v>
      </c>
      <c r="E54" s="10" t="str">
        <v>Sunday</v>
      </c>
      <c r="F54" s="11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31.44140625" style="2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181</v>
      </c>
    </row>
    <row r="7" spans="1:3" ht="14.4" x14ac:dyDescent="0.3">
      <c r="A7" s="3" t="s">
        <v>153</v>
      </c>
      <c r="B7" s="1" t="s">
        <v>182</v>
      </c>
    </row>
    <row r="10" spans="1:3" ht="23.4" x14ac:dyDescent="0.45">
      <c r="A10" s="18" t="s">
        <v>162</v>
      </c>
    </row>
    <row r="11" spans="1:3" ht="14.4" x14ac:dyDescent="0.3">
      <c r="A11" s="31" t="s">
        <v>86</v>
      </c>
      <c r="B11" s="17" t="s">
        <v>87</v>
      </c>
      <c r="C11" s="17" t="s">
        <v>88</v>
      </c>
    </row>
    <row r="12" spans="1:3" ht="14.4" x14ac:dyDescent="0.3">
      <c r="A12" s="31">
        <v>44927</v>
      </c>
      <c r="B12" s="17" t="s">
        <v>59</v>
      </c>
      <c r="C12" s="17">
        <v>200</v>
      </c>
    </row>
    <row r="13" spans="1:3" ht="14.4" x14ac:dyDescent="0.3">
      <c r="A13" s="31">
        <v>44928</v>
      </c>
      <c r="B13" s="17" t="s">
        <v>60</v>
      </c>
      <c r="C13" s="17" t="e">
        <v>#N/A</v>
      </c>
    </row>
    <row r="14" spans="1:3" ht="14.4" x14ac:dyDescent="0.3">
      <c r="A14" s="31">
        <v>44929</v>
      </c>
      <c r="B14" s="17" t="s">
        <v>61</v>
      </c>
      <c r="C14" s="17">
        <v>50</v>
      </c>
    </row>
    <row r="15" spans="1:3" ht="14.4" x14ac:dyDescent="0.3">
      <c r="A15" s="31">
        <v>44930</v>
      </c>
      <c r="B15" s="17" t="s">
        <v>62</v>
      </c>
      <c r="C15" s="17" t="e">
        <v>#N/A</v>
      </c>
    </row>
    <row r="16" spans="1:3" ht="14.4" x14ac:dyDescent="0.3">
      <c r="A16" s="31">
        <v>44931</v>
      </c>
      <c r="B16" s="17" t="s">
        <v>63</v>
      </c>
      <c r="C16" s="17">
        <v>10</v>
      </c>
    </row>
    <row r="17" spans="1:3" ht="14.4" x14ac:dyDescent="0.3">
      <c r="A17" s="31">
        <v>44932</v>
      </c>
      <c r="B17" s="17" t="s">
        <v>154</v>
      </c>
      <c r="C17" s="17">
        <v>150</v>
      </c>
    </row>
    <row r="18" spans="1:3" ht="14.4" x14ac:dyDescent="0.3">
      <c r="A18" s="31">
        <v>44933</v>
      </c>
      <c r="B18" s="17" t="s">
        <v>155</v>
      </c>
      <c r="C18" s="17">
        <v>80</v>
      </c>
    </row>
    <row r="19" spans="1:3" ht="14.4" x14ac:dyDescent="0.3">
      <c r="A19" s="31">
        <v>44934</v>
      </c>
      <c r="B19" s="17" t="s">
        <v>156</v>
      </c>
      <c r="C19" s="17" t="e">
        <v>#N/A</v>
      </c>
    </row>
    <row r="20" spans="1:3" ht="14.4" x14ac:dyDescent="0.3">
      <c r="A20" s="31">
        <v>44935</v>
      </c>
      <c r="B20" s="17" t="s">
        <v>157</v>
      </c>
      <c r="C20" s="17">
        <v>30</v>
      </c>
    </row>
    <row r="21" spans="1:3" ht="14.4" x14ac:dyDescent="0.3">
      <c r="A21" s="31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/>
    </row>
    <row r="24" spans="1:14" ht="14.4" x14ac:dyDescent="0.3">
      <c r="A24" s="7">
        <v>10100</v>
      </c>
      <c r="B24" s="12">
        <v>10104</v>
      </c>
      <c r="C24" s="43"/>
    </row>
    <row r="25" spans="1:14" ht="14.4" x14ac:dyDescent="0.3">
      <c r="A25" s="7">
        <v>10108</v>
      </c>
      <c r="B25" s="12">
        <v>10102</v>
      </c>
      <c r="C25" s="43"/>
    </row>
    <row r="26" spans="1:14" ht="14.4" x14ac:dyDescent="0.3">
      <c r="A26" s="7">
        <v>10100</v>
      </c>
      <c r="B26" s="12">
        <v>10106</v>
      </c>
      <c r="C26" s="43"/>
    </row>
    <row r="27" spans="1:14" ht="14.4" x14ac:dyDescent="0.3">
      <c r="A27" s="7">
        <v>10108</v>
      </c>
      <c r="B27" s="12">
        <v>10110</v>
      </c>
      <c r="C27" s="43"/>
    </row>
    <row r="28" spans="1:14" ht="14.4" x14ac:dyDescent="0.3">
      <c r="A28" s="7">
        <v>10102</v>
      </c>
      <c r="B28" s="12">
        <v>10104</v>
      </c>
      <c r="C28" s="43"/>
    </row>
    <row r="29" spans="1:14" ht="14.4" x14ac:dyDescent="0.3">
      <c r="A29" s="7">
        <v>10106</v>
      </c>
      <c r="B29" s="12">
        <v>10108</v>
      </c>
      <c r="C29" s="43"/>
    </row>
    <row r="30" spans="1:14" ht="14.4" x14ac:dyDescent="0.3">
      <c r="A30" s="7">
        <v>10102</v>
      </c>
      <c r="B30" s="12">
        <v>10106</v>
      </c>
      <c r="C30" s="43"/>
    </row>
    <row r="31" spans="1:14" ht="14.4" x14ac:dyDescent="0.3">
      <c r="A31" s="7">
        <v>10110</v>
      </c>
      <c r="B31" s="12">
        <v>10114</v>
      </c>
      <c r="C31" s="43"/>
    </row>
    <row r="32" spans="1:14" ht="14.4" x14ac:dyDescent="0.3">
      <c r="A32" s="7">
        <v>10104</v>
      </c>
      <c r="B32" s="12">
        <v>10106</v>
      </c>
      <c r="C32" s="43"/>
    </row>
    <row r="33" spans="1:3" ht="14.4" x14ac:dyDescent="0.3">
      <c r="A33" s="7">
        <v>10110</v>
      </c>
      <c r="B33" s="12">
        <v>10112</v>
      </c>
      <c r="C33" s="43"/>
    </row>
    <row r="34" spans="1:3" ht="14.4" x14ac:dyDescent="0.3">
      <c r="A34" s="7">
        <v>10100</v>
      </c>
      <c r="B34" s="12">
        <v>10114</v>
      </c>
      <c r="C34" s="43"/>
    </row>
    <row r="35" spans="1:3" ht="14.4" x14ac:dyDescent="0.3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Vikash Kumar Chaudhary</cp:lastModifiedBy>
  <dcterms:created xsi:type="dcterms:W3CDTF">2015-02-10T17:33:11Z</dcterms:created>
  <dcterms:modified xsi:type="dcterms:W3CDTF">2024-10-24T06:51:07Z</dcterms:modified>
</cp:coreProperties>
</file>